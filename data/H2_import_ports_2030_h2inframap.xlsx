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93252\Documents\Grid2050\PyPSA\pypsa-eur-agora\data\"/>
    </mc:Choice>
  </mc:AlternateContent>
  <xr:revisionPtr revIDLastSave="0" documentId="13_ncr:1_{E44DC7BE-57A5-4792-BCED-DD660689825C}" xr6:coauthVersionLast="47" xr6:coauthVersionMax="47" xr10:uidLastSave="{00000000-0000-0000-0000-000000000000}"/>
  <bookViews>
    <workbookView xWindow="-19310" yWindow="-110" windowWidth="19420" windowHeight="11620" xr2:uid="{00000000-000D-0000-FFFF-FFFF00000000}"/>
  </bookViews>
  <sheets>
    <sheet name="H2_import_ports_2030_h2inframap" sheetId="1" r:id="rId1"/>
    <sheet name="import_co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E2" i="2" l="1"/>
  <c r="D2" i="2"/>
</calcChain>
</file>

<file path=xl/sharedStrings.xml><?xml version="1.0" encoding="utf-8"?>
<sst xmlns="http://schemas.openxmlformats.org/spreadsheetml/2006/main" count="171" uniqueCount="75">
  <si>
    <t>reference</t>
  </si>
  <si>
    <t>Portugal</t>
  </si>
  <si>
    <t>Name</t>
  </si>
  <si>
    <t>H2Sines.Rdam</t>
  </si>
  <si>
    <t>Commissioning Year First</t>
  </si>
  <si>
    <t>Hydrogen Derivate</t>
  </si>
  <si>
    <t>LH2</t>
  </si>
  <si>
    <t>NaN</t>
  </si>
  <si>
    <t>https://www.h2inframap.eu/</t>
  </si>
  <si>
    <t>Green P(Hy)sics</t>
  </si>
  <si>
    <t>Pure H2 and ammonia</t>
  </si>
  <si>
    <t>Green Atlantic @Moneypoint</t>
  </si>
  <si>
    <t>Ammonia</t>
  </si>
  <si>
    <t>Mediterranean Hydrogen Gateway</t>
  </si>
  <si>
    <t>Ammonia, methanol or LOHC</t>
  </si>
  <si>
    <t>Dunkerque New Molecules development</t>
  </si>
  <si>
    <t>Zeebrugge New Molecules development</t>
  </si>
  <si>
    <t>North Sea Port</t>
  </si>
  <si>
    <t>Hydrogen, ammonia or LOHC</t>
  </si>
  <si>
    <t>Antwerp NH3 Import Terminal</t>
  </si>
  <si>
    <t>Amplifhy Antwerp</t>
  </si>
  <si>
    <t>IPCEI Northern Green Crane</t>
  </si>
  <si>
    <t>LOHC</t>
  </si>
  <si>
    <t>Project Helios</t>
  </si>
  <si>
    <t>Hydrogen Derivates</t>
  </si>
  <si>
    <t>Amplifhy Rotterdam</t>
  </si>
  <si>
    <t>PoR import portfolio programm</t>
  </si>
  <si>
    <t>ACE Terminal</t>
  </si>
  <si>
    <t>Artificial Modular Reef</t>
  </si>
  <si>
    <t>Green Wilhelmshaven Terminal/Storage/Cracker</t>
  </si>
  <si>
    <t>bp Wilhelmshaven Green Hydrogen Hub</t>
  </si>
  <si>
    <t xml:space="preserve">Ammonia Import Temrminal Brunsbuttel </t>
  </si>
  <si>
    <t>Hydrogen Imports to Hamburg</t>
  </si>
  <si>
    <t>TransHyDE</t>
  </si>
  <si>
    <t>IPCEI Blue Danube</t>
  </si>
  <si>
    <t>H2 Energy Terminals</t>
  </si>
  <si>
    <t>Poland</t>
  </si>
  <si>
    <t>France</t>
  </si>
  <si>
    <t>Ireland</t>
  </si>
  <si>
    <t>Belgium</t>
  </si>
  <si>
    <t>Netherlands</t>
  </si>
  <si>
    <t>Germany</t>
  </si>
  <si>
    <t>Germany, Austria (Danube)</t>
  </si>
  <si>
    <t>Country</t>
  </si>
  <si>
    <t>price [€/kg]</t>
  </si>
  <si>
    <t>price [€/MWh]</t>
  </si>
  <si>
    <t>country</t>
  </si>
  <si>
    <t>year</t>
  </si>
  <si>
    <t>https://www.reuters.com/business/energy/imported-hydrogen-can-beat-eu-production-costs-by-2030-study-2023-01-24/</t>
  </si>
  <si>
    <t>from Marokko</t>
  </si>
  <si>
    <t>https://www.energate-messenger.com/news/229997/imported-green-hydrogen-competitive-by-2030</t>
  </si>
  <si>
    <t>carrier</t>
  </si>
  <si>
    <t>H2</t>
  </si>
  <si>
    <t>in Germany</t>
  </si>
  <si>
    <t>from Australia</t>
  </si>
  <si>
    <t>from Chile</t>
  </si>
  <si>
    <t>https://www.energate-messenger.com/news/229997/imported-green-hydrogen-competitive-by-2031</t>
  </si>
  <si>
    <t>https://www.energate-messenger.com/news/229997/imported-green-hydrogen-competitive-by-2032</t>
  </si>
  <si>
    <t>https://www.energate-messenger.com/news/229997/imported-green-hydrogen-competitive-by-2033</t>
  </si>
  <si>
    <t>https://www.energate-messenger.com/news/229997/imported-green-hydrogen-competitive-by-2034</t>
  </si>
  <si>
    <t>from United Arab Emirates</t>
  </si>
  <si>
    <t>Index</t>
  </si>
  <si>
    <t>latitude</t>
  </si>
  <si>
    <t>longitude</t>
  </si>
  <si>
    <t>Pipeline Italien</t>
  </si>
  <si>
    <t>Pipeline Spanien</t>
  </si>
  <si>
    <t>p_nom</t>
  </si>
  <si>
    <t>Expected yearly volume [GWh/a]</t>
  </si>
  <si>
    <t>note</t>
  </si>
  <si>
    <t>General EU synfuel imports</t>
  </si>
  <si>
    <t>EU</t>
  </si>
  <si>
    <t>(Min 2.000 m3/h mit LHV 20.8MJ/l) (https://www.wasserstoff-leitprojekte.de/lw_resource/datapool/systemfiles/cbox/2662/live/lw_datei/transhyde_kurzanalyse_h2-beschleunigungsg.pdf)</t>
  </si>
  <si>
    <t>inf</t>
  </si>
  <si>
    <t>p_nom=existing gas_pipeline*0.6</t>
  </si>
  <si>
    <t>p_nom=existing gas_pipeline*0.7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</si>
</sst>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8" fillId="0" borderId="0" xfId="42"/>
    <xf numFmtId="0" fontId="0" fillId="0" borderId="0" xfId="0" applyFill="1"/>
    <xf numFmtId="16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165" fontId="0" fillId="0" borderId="0" xfId="0" applyNumberFormat="1" applyFill="1" applyAlignment="1">
      <alignment horizontal="left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h2inframap.eu/" TargetMode="External"/><Relationship Id="rId1" Type="http://schemas.openxmlformats.org/officeDocument/2006/relationships/hyperlink" Target="https://www.h2inframap.e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rgate-messenger.com/news/229997/imported-green-hydrogen-competitive-by-2030" TargetMode="External"/><Relationship Id="rId2" Type="http://schemas.openxmlformats.org/officeDocument/2006/relationships/hyperlink" Target="https://www.energate-messenger.com/news/229997/imported-green-hydrogen-competitive-by-2030" TargetMode="External"/><Relationship Id="rId1" Type="http://schemas.openxmlformats.org/officeDocument/2006/relationships/hyperlink" Target="https://www.reuters.com/business/energy/imported-hydrogen-can-beat-eu-production-costs-by-2030-study-2023-01-24/" TargetMode="External"/><Relationship Id="rId6" Type="http://schemas.openxmlformats.org/officeDocument/2006/relationships/hyperlink" Target="https://www.energate-messenger.com/news/229997/imported-green-hydrogen-competitive-by-2030" TargetMode="External"/><Relationship Id="rId5" Type="http://schemas.openxmlformats.org/officeDocument/2006/relationships/hyperlink" Target="https://www.energate-messenger.com/news/229997/imported-green-hydrogen-competitive-by-2030" TargetMode="External"/><Relationship Id="rId4" Type="http://schemas.openxmlformats.org/officeDocument/2006/relationships/hyperlink" Target="https://www.energate-messenger.com/news/229997/imported-green-hydrogen-competitive-by-2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C1" zoomScaleNormal="100" workbookViewId="0">
      <selection activeCell="H3" sqref="H3"/>
    </sheetView>
  </sheetViews>
  <sheetFormatPr baseColWidth="10" defaultColWidth="9.140625" defaultRowHeight="15" x14ac:dyDescent="0.25"/>
  <cols>
    <col min="2" max="2" width="45.140625" customWidth="1"/>
    <col min="3" max="3" width="29.7109375" customWidth="1"/>
    <col min="4" max="4" width="23.85546875" customWidth="1"/>
    <col min="5" max="5" width="26.28515625" customWidth="1"/>
    <col min="6" max="6" width="31.7109375" customWidth="1"/>
    <col min="7" max="9" width="12.28515625" style="1" customWidth="1"/>
    <col min="10" max="10" width="29.42578125" customWidth="1"/>
    <col min="11" max="11" width="16.42578125" customWidth="1"/>
    <col min="12" max="12" width="12.28515625" customWidth="1"/>
  </cols>
  <sheetData>
    <row r="1" spans="1:11" x14ac:dyDescent="0.25">
      <c r="A1" t="s">
        <v>61</v>
      </c>
      <c r="B1" t="s">
        <v>2</v>
      </c>
      <c r="C1" t="s">
        <v>43</v>
      </c>
      <c r="D1" t="s">
        <v>4</v>
      </c>
      <c r="E1" t="s">
        <v>5</v>
      </c>
      <c r="F1" t="s">
        <v>67</v>
      </c>
      <c r="G1" s="1" t="s">
        <v>62</v>
      </c>
      <c r="H1" s="1" t="s">
        <v>63</v>
      </c>
      <c r="I1" s="1" t="s">
        <v>66</v>
      </c>
      <c r="J1" t="s">
        <v>0</v>
      </c>
      <c r="K1" s="1" t="s">
        <v>68</v>
      </c>
    </row>
    <row r="2" spans="1:11" x14ac:dyDescent="0.25">
      <c r="B2" t="s">
        <v>64</v>
      </c>
      <c r="G2" s="1">
        <v>37.822780000000002</v>
      </c>
      <c r="H2" s="1">
        <v>12.553747</v>
      </c>
      <c r="I2">
        <f>61201.9993269676*0.6</f>
        <v>36721.199596180559</v>
      </c>
      <c r="K2" t="s">
        <v>73</v>
      </c>
    </row>
    <row r="3" spans="1:11" x14ac:dyDescent="0.25">
      <c r="B3" t="s">
        <v>65</v>
      </c>
      <c r="G3" s="1">
        <v>36.910093000000003</v>
      </c>
      <c r="H3" s="1">
        <v>-2.408674</v>
      </c>
      <c r="I3">
        <f>28162.6959987059*0.6</f>
        <v>16897.61759922354</v>
      </c>
      <c r="K3" t="s">
        <v>74</v>
      </c>
    </row>
    <row r="4" spans="1:11" x14ac:dyDescent="0.25">
      <c r="A4">
        <v>1</v>
      </c>
      <c r="B4" s="3" t="s">
        <v>3</v>
      </c>
      <c r="C4" t="s">
        <v>1</v>
      </c>
      <c r="D4">
        <v>2026</v>
      </c>
      <c r="E4" t="s">
        <v>6</v>
      </c>
      <c r="F4" s="1" t="s">
        <v>7</v>
      </c>
      <c r="G4" s="4">
        <v>37.936900000000001</v>
      </c>
      <c r="H4" s="4">
        <v>-8.8463999999999992</v>
      </c>
      <c r="I4" s="6">
        <v>11500</v>
      </c>
      <c r="J4" s="2" t="s">
        <v>8</v>
      </c>
      <c r="K4" t="s">
        <v>71</v>
      </c>
    </row>
    <row r="5" spans="1:11" x14ac:dyDescent="0.25">
      <c r="A5">
        <v>2</v>
      </c>
      <c r="B5" s="3" t="s">
        <v>9</v>
      </c>
      <c r="C5" t="s">
        <v>37</v>
      </c>
      <c r="D5">
        <v>2024</v>
      </c>
      <c r="E5" t="s">
        <v>10</v>
      </c>
      <c r="F5" s="1">
        <v>5520</v>
      </c>
      <c r="G5" s="4">
        <v>45.010199999999998</v>
      </c>
      <c r="H5" s="4">
        <v>-0.48830000000000001</v>
      </c>
      <c r="I5" s="6">
        <v>11500</v>
      </c>
      <c r="J5" s="2" t="s">
        <v>8</v>
      </c>
      <c r="K5" t="s">
        <v>71</v>
      </c>
    </row>
    <row r="6" spans="1:11" x14ac:dyDescent="0.25">
      <c r="A6">
        <v>3</v>
      </c>
      <c r="B6" s="3" t="s">
        <v>11</v>
      </c>
      <c r="C6" t="s">
        <v>38</v>
      </c>
      <c r="D6">
        <v>2030</v>
      </c>
      <c r="E6" t="s">
        <v>12</v>
      </c>
      <c r="F6" s="1">
        <v>7000</v>
      </c>
      <c r="G6" s="4">
        <v>52.756599999999999</v>
      </c>
      <c r="H6" s="4">
        <v>-9.4877000000000002</v>
      </c>
      <c r="I6" s="6">
        <v>11500</v>
      </c>
      <c r="J6" s="2" t="s">
        <v>8</v>
      </c>
      <c r="K6" t="s">
        <v>71</v>
      </c>
    </row>
    <row r="7" spans="1:11" x14ac:dyDescent="0.25">
      <c r="A7">
        <v>4</v>
      </c>
      <c r="B7" s="3" t="s">
        <v>13</v>
      </c>
      <c r="C7" t="s">
        <v>37</v>
      </c>
      <c r="D7">
        <v>2029</v>
      </c>
      <c r="E7" t="s">
        <v>14</v>
      </c>
      <c r="F7" s="1">
        <v>3000</v>
      </c>
      <c r="G7" s="4">
        <v>43.004049999999999</v>
      </c>
      <c r="H7" s="4">
        <v>3.0541749999999999</v>
      </c>
      <c r="I7" s="6">
        <v>11500</v>
      </c>
      <c r="J7" s="2" t="s">
        <v>8</v>
      </c>
      <c r="K7" t="s">
        <v>71</v>
      </c>
    </row>
    <row r="8" spans="1:11" x14ac:dyDescent="0.25">
      <c r="A8">
        <v>5</v>
      </c>
      <c r="B8" s="3" t="s">
        <v>15</v>
      </c>
      <c r="C8" t="s">
        <v>37</v>
      </c>
      <c r="D8">
        <v>2029</v>
      </c>
      <c r="E8" t="s">
        <v>12</v>
      </c>
      <c r="F8" s="1" t="s">
        <v>7</v>
      </c>
      <c r="G8" s="4">
        <v>51.047303999999997</v>
      </c>
      <c r="H8" s="4">
        <v>2.3811010000000001</v>
      </c>
      <c r="I8" s="6">
        <v>11500</v>
      </c>
      <c r="J8" s="2" t="s">
        <v>8</v>
      </c>
      <c r="K8" t="s">
        <v>71</v>
      </c>
    </row>
    <row r="9" spans="1:11" x14ac:dyDescent="0.25">
      <c r="A9">
        <v>6</v>
      </c>
      <c r="B9" s="3" t="s">
        <v>16</v>
      </c>
      <c r="C9" t="s">
        <v>39</v>
      </c>
      <c r="D9">
        <v>2029</v>
      </c>
      <c r="E9" t="s">
        <v>12</v>
      </c>
      <c r="F9" s="1" t="s">
        <v>7</v>
      </c>
      <c r="G9" s="4">
        <v>51.341321000000001</v>
      </c>
      <c r="H9" s="4">
        <v>3.1759110000000002</v>
      </c>
      <c r="I9" s="6">
        <v>11500</v>
      </c>
      <c r="J9" s="2" t="s">
        <v>8</v>
      </c>
      <c r="K9" t="s">
        <v>71</v>
      </c>
    </row>
    <row r="10" spans="1:11" x14ac:dyDescent="0.25">
      <c r="A10">
        <v>7</v>
      </c>
      <c r="B10" s="3" t="s">
        <v>17</v>
      </c>
      <c r="C10" t="s">
        <v>40</v>
      </c>
      <c r="D10">
        <v>2030</v>
      </c>
      <c r="E10" t="s">
        <v>18</v>
      </c>
      <c r="F10" s="1" t="s">
        <v>7</v>
      </c>
      <c r="G10" s="4">
        <v>51.336089999999999</v>
      </c>
      <c r="H10" s="4">
        <v>3.8370679999999999</v>
      </c>
      <c r="I10" s="6">
        <v>11500</v>
      </c>
      <c r="J10" s="2" t="s">
        <v>8</v>
      </c>
      <c r="K10" t="s">
        <v>71</v>
      </c>
    </row>
    <row r="11" spans="1:11" x14ac:dyDescent="0.25">
      <c r="A11">
        <v>8</v>
      </c>
      <c r="B11" s="3" t="s">
        <v>19</v>
      </c>
      <c r="C11" t="s">
        <v>39</v>
      </c>
      <c r="D11">
        <v>2027</v>
      </c>
      <c r="E11" t="s">
        <v>12</v>
      </c>
      <c r="F11" s="1" t="s">
        <v>7</v>
      </c>
      <c r="G11" s="4">
        <v>51.366984000000002</v>
      </c>
      <c r="H11" s="4">
        <v>4.2093689999999997</v>
      </c>
      <c r="I11" s="6">
        <v>11500</v>
      </c>
      <c r="J11" s="2" t="s">
        <v>8</v>
      </c>
      <c r="K11" t="s">
        <v>71</v>
      </c>
    </row>
    <row r="12" spans="1:11" x14ac:dyDescent="0.25">
      <c r="A12">
        <v>9</v>
      </c>
      <c r="B12" s="3" t="s">
        <v>20</v>
      </c>
      <c r="C12" t="s">
        <v>39</v>
      </c>
      <c r="D12">
        <v>2026</v>
      </c>
      <c r="E12" t="s">
        <v>12</v>
      </c>
      <c r="F12" s="1" t="s">
        <v>7</v>
      </c>
      <c r="G12" s="4">
        <v>51.296399999999998</v>
      </c>
      <c r="H12" s="4">
        <v>4.2807700000000004</v>
      </c>
      <c r="I12" s="6">
        <v>11500</v>
      </c>
      <c r="J12" s="2" t="s">
        <v>8</v>
      </c>
      <c r="K12" t="s">
        <v>71</v>
      </c>
    </row>
    <row r="13" spans="1:11" x14ac:dyDescent="0.25">
      <c r="A13">
        <v>10</v>
      </c>
      <c r="B13" s="3" t="s">
        <v>21</v>
      </c>
      <c r="C13" t="s">
        <v>40</v>
      </c>
      <c r="D13">
        <v>2026</v>
      </c>
      <c r="E13" t="s">
        <v>22</v>
      </c>
      <c r="F13" s="1" t="s">
        <v>7</v>
      </c>
      <c r="G13" s="4">
        <v>51.915900000000001</v>
      </c>
      <c r="H13" s="4">
        <v>4.0101000000000004</v>
      </c>
      <c r="I13" s="6">
        <v>11500</v>
      </c>
      <c r="J13" s="2" t="s">
        <v>8</v>
      </c>
      <c r="K13" t="s">
        <v>71</v>
      </c>
    </row>
    <row r="14" spans="1:11" x14ac:dyDescent="0.25">
      <c r="A14">
        <v>11</v>
      </c>
      <c r="B14" s="3" t="s">
        <v>23</v>
      </c>
      <c r="C14" t="s">
        <v>40</v>
      </c>
      <c r="D14">
        <v>2026</v>
      </c>
      <c r="E14" t="s">
        <v>24</v>
      </c>
      <c r="F14" s="1" t="s">
        <v>7</v>
      </c>
      <c r="G14" s="4">
        <v>51.915900000000001</v>
      </c>
      <c r="H14" s="4">
        <v>4.0101000000000004</v>
      </c>
      <c r="I14" s="6">
        <v>11500</v>
      </c>
      <c r="J14" s="2" t="s">
        <v>8</v>
      </c>
      <c r="K14" t="s">
        <v>71</v>
      </c>
    </row>
    <row r="15" spans="1:11" x14ac:dyDescent="0.25">
      <c r="A15">
        <v>12</v>
      </c>
      <c r="B15" s="3" t="s">
        <v>25</v>
      </c>
      <c r="C15" t="s">
        <v>40</v>
      </c>
      <c r="D15">
        <v>2026</v>
      </c>
      <c r="E15" t="s">
        <v>24</v>
      </c>
      <c r="F15" s="1" t="s">
        <v>7</v>
      </c>
      <c r="G15" s="4">
        <v>51.915900000000001</v>
      </c>
      <c r="H15" s="4">
        <v>4.0101000000000004</v>
      </c>
      <c r="I15" s="6">
        <v>11500</v>
      </c>
      <c r="J15" s="2" t="s">
        <v>8</v>
      </c>
      <c r="K15" t="s">
        <v>71</v>
      </c>
    </row>
    <row r="16" spans="1:11" x14ac:dyDescent="0.25">
      <c r="A16">
        <v>13</v>
      </c>
      <c r="B16" s="3" t="s">
        <v>26</v>
      </c>
      <c r="C16" t="s">
        <v>40</v>
      </c>
      <c r="D16">
        <v>2025</v>
      </c>
      <c r="E16" t="s">
        <v>6</v>
      </c>
      <c r="F16" s="1" t="s">
        <v>7</v>
      </c>
      <c r="G16" s="4">
        <v>51.915900000000001</v>
      </c>
      <c r="H16" s="4">
        <v>4.0101000000000004</v>
      </c>
      <c r="I16" s="6">
        <v>11500</v>
      </c>
      <c r="J16" s="2" t="s">
        <v>8</v>
      </c>
      <c r="K16" t="s">
        <v>71</v>
      </c>
    </row>
    <row r="17" spans="1:11" x14ac:dyDescent="0.25">
      <c r="A17">
        <v>14</v>
      </c>
      <c r="B17" s="3" t="s">
        <v>27</v>
      </c>
      <c r="C17" t="s">
        <v>40</v>
      </c>
      <c r="D17">
        <v>2027</v>
      </c>
      <c r="E17" t="s">
        <v>24</v>
      </c>
      <c r="F17" s="1">
        <v>39960</v>
      </c>
      <c r="G17" s="4">
        <v>51.915900000000001</v>
      </c>
      <c r="H17" s="4">
        <v>4.0101000000000004</v>
      </c>
      <c r="I17" s="6">
        <v>11500</v>
      </c>
      <c r="J17" s="2" t="s">
        <v>8</v>
      </c>
      <c r="K17" t="s">
        <v>71</v>
      </c>
    </row>
    <row r="18" spans="1:11" x14ac:dyDescent="0.25">
      <c r="A18">
        <v>15</v>
      </c>
      <c r="B18" s="3" t="s">
        <v>28</v>
      </c>
      <c r="C18" t="s">
        <v>40</v>
      </c>
      <c r="D18">
        <v>2023</v>
      </c>
      <c r="E18" t="s">
        <v>7</v>
      </c>
      <c r="F18" s="1">
        <v>6.6</v>
      </c>
      <c r="G18" s="4">
        <v>52.467166400000004</v>
      </c>
      <c r="H18" s="4">
        <v>4.6272725100000001</v>
      </c>
      <c r="I18" s="6">
        <v>11500</v>
      </c>
      <c r="J18" s="2" t="s">
        <v>8</v>
      </c>
      <c r="K18" t="s">
        <v>71</v>
      </c>
    </row>
    <row r="19" spans="1:11" x14ac:dyDescent="0.25">
      <c r="A19">
        <v>16</v>
      </c>
      <c r="B19" s="3" t="s">
        <v>29</v>
      </c>
      <c r="C19" t="s">
        <v>41</v>
      </c>
      <c r="D19">
        <v>2028</v>
      </c>
      <c r="E19" t="s">
        <v>12</v>
      </c>
      <c r="F19" s="1" t="s">
        <v>7</v>
      </c>
      <c r="G19" s="4">
        <v>53.558557999999998</v>
      </c>
      <c r="H19" s="4">
        <v>8.1517119999999998</v>
      </c>
      <c r="I19" s="6">
        <v>11500</v>
      </c>
      <c r="J19" s="2" t="s">
        <v>8</v>
      </c>
      <c r="K19" t="s">
        <v>71</v>
      </c>
    </row>
    <row r="20" spans="1:11" x14ac:dyDescent="0.25">
      <c r="A20">
        <v>17</v>
      </c>
      <c r="B20" s="3" t="s">
        <v>30</v>
      </c>
      <c r="C20" t="s">
        <v>41</v>
      </c>
      <c r="D20">
        <v>2028</v>
      </c>
      <c r="E20" t="s">
        <v>24</v>
      </c>
      <c r="F20" s="1" t="s">
        <v>7</v>
      </c>
      <c r="G20" s="4">
        <v>53.578898000000002</v>
      </c>
      <c r="H20" s="4">
        <v>8.2468500000000002</v>
      </c>
      <c r="I20" s="6">
        <v>11500</v>
      </c>
      <c r="J20" s="2" t="s">
        <v>8</v>
      </c>
      <c r="K20" t="s">
        <v>71</v>
      </c>
    </row>
    <row r="21" spans="1:11" x14ac:dyDescent="0.25">
      <c r="A21">
        <v>18</v>
      </c>
      <c r="B21" s="3" t="s">
        <v>31</v>
      </c>
      <c r="C21" t="s">
        <v>41</v>
      </c>
      <c r="D21">
        <v>2026</v>
      </c>
      <c r="E21" t="s">
        <v>12</v>
      </c>
      <c r="F21" s="1" t="s">
        <v>7</v>
      </c>
      <c r="G21" s="4">
        <v>53.915399999999998</v>
      </c>
      <c r="H21" s="4">
        <v>9.1555499999999999</v>
      </c>
      <c r="I21" s="6">
        <v>11500</v>
      </c>
      <c r="J21" s="2" t="s">
        <v>8</v>
      </c>
      <c r="K21" t="s">
        <v>71</v>
      </c>
    </row>
    <row r="22" spans="1:11" x14ac:dyDescent="0.25">
      <c r="A22">
        <v>19</v>
      </c>
      <c r="B22" s="3" t="s">
        <v>32</v>
      </c>
      <c r="C22" t="s">
        <v>41</v>
      </c>
      <c r="D22">
        <v>2026</v>
      </c>
      <c r="E22" t="s">
        <v>6</v>
      </c>
      <c r="F22" s="1" t="s">
        <v>7</v>
      </c>
      <c r="G22" s="5">
        <v>53.529353999999998</v>
      </c>
      <c r="H22" s="5">
        <v>9.8949300000000004</v>
      </c>
      <c r="I22" s="6">
        <v>11500</v>
      </c>
      <c r="J22" s="2" t="s">
        <v>8</v>
      </c>
      <c r="K22" t="s">
        <v>71</v>
      </c>
    </row>
    <row r="23" spans="1:11" x14ac:dyDescent="0.25">
      <c r="A23">
        <v>20</v>
      </c>
      <c r="B23" s="3" t="s">
        <v>33</v>
      </c>
      <c r="C23" t="s">
        <v>41</v>
      </c>
      <c r="D23">
        <v>2023</v>
      </c>
      <c r="E23" t="s">
        <v>22</v>
      </c>
      <c r="F23" s="1">
        <v>292</v>
      </c>
      <c r="G23" s="5">
        <v>53.543132999999997</v>
      </c>
      <c r="H23" s="5">
        <v>9.9827580000000005</v>
      </c>
      <c r="I23" s="6">
        <v>11500</v>
      </c>
      <c r="J23" s="2" t="s">
        <v>8</v>
      </c>
      <c r="K23" t="s">
        <v>71</v>
      </c>
    </row>
    <row r="24" spans="1:11" x14ac:dyDescent="0.25">
      <c r="A24">
        <v>21</v>
      </c>
      <c r="B24" t="s">
        <v>34</v>
      </c>
      <c r="C24" t="s">
        <v>42</v>
      </c>
      <c r="D24">
        <v>2024</v>
      </c>
      <c r="E24" t="s">
        <v>22</v>
      </c>
      <c r="F24" s="1" t="s">
        <v>7</v>
      </c>
      <c r="G24" s="1" t="s">
        <v>7</v>
      </c>
      <c r="H24" s="1" t="s">
        <v>7</v>
      </c>
      <c r="I24" s="6">
        <v>11500</v>
      </c>
      <c r="J24" s="2" t="s">
        <v>8</v>
      </c>
      <c r="K24" t="s">
        <v>71</v>
      </c>
    </row>
    <row r="25" spans="1:11" x14ac:dyDescent="0.25">
      <c r="A25">
        <v>22</v>
      </c>
      <c r="B25" t="s">
        <v>35</v>
      </c>
      <c r="C25" t="s">
        <v>36</v>
      </c>
      <c r="D25">
        <v>2027</v>
      </c>
      <c r="E25" t="s">
        <v>6</v>
      </c>
      <c r="F25" s="1">
        <v>30000</v>
      </c>
      <c r="G25" s="1">
        <v>52.081561999999998</v>
      </c>
      <c r="H25" s="1">
        <v>21.208902999999999</v>
      </c>
      <c r="I25" s="6">
        <v>11500</v>
      </c>
      <c r="J25" s="2" t="s">
        <v>8</v>
      </c>
      <c r="K25" t="s">
        <v>71</v>
      </c>
    </row>
    <row r="26" spans="1:11" x14ac:dyDescent="0.25">
      <c r="B26" t="s">
        <v>69</v>
      </c>
      <c r="C26" t="s">
        <v>70</v>
      </c>
      <c r="F26" s="6"/>
      <c r="I26" s="6" t="s">
        <v>72</v>
      </c>
    </row>
  </sheetData>
  <phoneticPr fontId="19" type="noConversion"/>
  <hyperlinks>
    <hyperlink ref="J4" r:id="rId1" xr:uid="{00000000-0004-0000-0000-000000000000}"/>
    <hyperlink ref="J5:J25" r:id="rId2" display="https://www.h2inframap.eu/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00C4-29A9-48F8-8537-6DC3DCBC153F}">
  <dimension ref="A1:F8"/>
  <sheetViews>
    <sheetView workbookViewId="0">
      <selection activeCell="C14" sqref="C14"/>
    </sheetView>
  </sheetViews>
  <sheetFormatPr baseColWidth="10" defaultColWidth="9.140625" defaultRowHeight="15" x14ac:dyDescent="0.25"/>
  <cols>
    <col min="3" max="3" width="24.85546875" customWidth="1"/>
    <col min="4" max="5" width="12.85546875" customWidth="1"/>
    <col min="6" max="6" width="25.42578125" customWidth="1"/>
  </cols>
  <sheetData>
    <row r="1" spans="1:6" x14ac:dyDescent="0.25">
      <c r="A1" t="s">
        <v>51</v>
      </c>
      <c r="B1" t="s">
        <v>47</v>
      </c>
      <c r="C1" t="s">
        <v>46</v>
      </c>
      <c r="D1" t="s">
        <v>44</v>
      </c>
      <c r="E1" t="s">
        <v>45</v>
      </c>
      <c r="F1" t="s">
        <v>0</v>
      </c>
    </row>
    <row r="2" spans="1:6" x14ac:dyDescent="0.25">
      <c r="A2" t="s">
        <v>52</v>
      </c>
      <c r="B2">
        <v>2030</v>
      </c>
      <c r="C2" t="s">
        <v>53</v>
      </c>
      <c r="D2">
        <f>AVERAGE(3.9,5)</f>
        <v>4.45</v>
      </c>
      <c r="E2">
        <f>D2/33.33*1000</f>
        <v>133.51335133513354</v>
      </c>
      <c r="F2" s="2" t="s">
        <v>48</v>
      </c>
    </row>
    <row r="3" spans="1:6" x14ac:dyDescent="0.25">
      <c r="A3" t="s">
        <v>6</v>
      </c>
      <c r="B3">
        <v>2030</v>
      </c>
      <c r="C3" t="s">
        <v>49</v>
      </c>
      <c r="D3">
        <v>4.58</v>
      </c>
      <c r="F3" s="2" t="s">
        <v>50</v>
      </c>
    </row>
    <row r="4" spans="1:6" x14ac:dyDescent="0.25">
      <c r="A4" t="s">
        <v>22</v>
      </c>
      <c r="B4">
        <v>2030</v>
      </c>
      <c r="C4" t="s">
        <v>49</v>
      </c>
      <c r="D4">
        <v>4.7</v>
      </c>
      <c r="F4" s="2" t="s">
        <v>56</v>
      </c>
    </row>
    <row r="5" spans="1:6" x14ac:dyDescent="0.25">
      <c r="A5" t="s">
        <v>12</v>
      </c>
      <c r="B5">
        <v>2030</v>
      </c>
      <c r="C5" t="s">
        <v>49</v>
      </c>
      <c r="D5">
        <v>4.7</v>
      </c>
      <c r="F5" s="2" t="s">
        <v>57</v>
      </c>
    </row>
    <row r="6" spans="1:6" x14ac:dyDescent="0.25">
      <c r="A6" t="s">
        <v>12</v>
      </c>
      <c r="B6">
        <v>2030</v>
      </c>
      <c r="C6" t="s">
        <v>54</v>
      </c>
      <c r="D6">
        <v>4.84</v>
      </c>
      <c r="F6" s="2" t="s">
        <v>58</v>
      </c>
    </row>
    <row r="7" spans="1:6" x14ac:dyDescent="0.25">
      <c r="A7" t="s">
        <v>12</v>
      </c>
      <c r="B7">
        <v>2030</v>
      </c>
      <c r="C7" t="s">
        <v>55</v>
      </c>
      <c r="D7">
        <v>4.8600000000000003</v>
      </c>
      <c r="F7" s="2" t="s">
        <v>59</v>
      </c>
    </row>
    <row r="8" spans="1:6" x14ac:dyDescent="0.25">
      <c r="A8" t="s">
        <v>12</v>
      </c>
      <c r="B8">
        <v>2030</v>
      </c>
      <c r="C8" t="s">
        <v>60</v>
      </c>
      <c r="D8">
        <v>5.36</v>
      </c>
    </row>
  </sheetData>
  <phoneticPr fontId="19" type="noConversion"/>
  <hyperlinks>
    <hyperlink ref="F2" r:id="rId1" xr:uid="{2CBEAADD-2A1D-408A-A9AF-E903F4880536}"/>
    <hyperlink ref="F3" r:id="rId2" xr:uid="{CFDBB7CB-8B19-492B-9CAE-9C02F361FCF6}"/>
    <hyperlink ref="F4" r:id="rId3" display="https://www.energate-messenger.com/news/229997/imported-green-hydrogen-competitive-by-2030" xr:uid="{5A9E3ADF-EC3A-4DEE-BAF5-9FA4B3103EEB}"/>
    <hyperlink ref="F5" r:id="rId4" display="https://www.energate-messenger.com/news/229997/imported-green-hydrogen-competitive-by-2030" xr:uid="{C6586630-B9E6-4954-878E-2DEDE9FF2D49}"/>
    <hyperlink ref="F6" r:id="rId5" display="https://www.energate-messenger.com/news/229997/imported-green-hydrogen-competitive-by-2030" xr:uid="{0BEB267F-36ED-4CD5-9D0E-6047D256BDA5}"/>
    <hyperlink ref="F7" r:id="rId6" display="https://www.energate-messenger.com/news/229997/imported-green-hydrogen-competitive-by-2030" xr:uid="{0C2F22F0-7813-4DBC-BCAE-C130F8D6833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E9879D8F1DDF4E981CA9620FD6128E" ma:contentTypeVersion="3" ma:contentTypeDescription="Create a new document." ma:contentTypeScope="" ma:versionID="a77d38f01f7e021fee22c3e698fc7798">
  <xsd:schema xmlns:xsd="http://www.w3.org/2001/XMLSchema" xmlns:xs="http://www.w3.org/2001/XMLSchema" xmlns:p="http://schemas.microsoft.com/office/2006/metadata/properties" xmlns:ns1="http://schemas.microsoft.com/sharepoint/v3" xmlns:ns2="7b66e62e-15d8-427b-b4e9-05283ac20ebb" targetNamespace="http://schemas.microsoft.com/office/2006/metadata/properties" ma:root="true" ma:fieldsID="3ca442f8b244d21db8aab7af8c8acf1b" ns1:_="" ns2:_="">
    <xsd:import namespace="http://schemas.microsoft.com/sharepoint/v3"/>
    <xsd:import namespace="7b66e62e-15d8-427b-b4e9-05283ac20ebb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6e62e-15d8-427b-b4e9-05283ac20eb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27A255-6319-485A-82C2-67690F3B241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DD30B8A-9472-40BD-98C4-1840073330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9E4443-1A47-4690-ABEA-3016D2B5FE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b66e62e-15d8-427b-b4e9-05283ac20e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H2_import_ports_2030_h2inframap</vt:lpstr>
      <vt:lpstr>import_cost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Czygan, Lukas</dc:creator>
  <cp:lastModifiedBy>Hartnagel, Paula</cp:lastModifiedBy>
  <dcterms:created xsi:type="dcterms:W3CDTF">2024-02-15T15:59:30Z</dcterms:created>
  <dcterms:modified xsi:type="dcterms:W3CDTF">2024-05-24T09:45:47Z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0x01010084E9879D8F1DDF4E981CA9620FD6128E</vt:lpwstr>
  </property>
</Properties>
</file>